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ael.a.arsolon\Documents\PERSONAL\hackathon\"/>
    </mc:Choice>
  </mc:AlternateContent>
  <xr:revisionPtr revIDLastSave="0" documentId="13_ncr:1_{9C538E5B-3E72-4C21-B4C7-7EFC30F504A6}" xr6:coauthVersionLast="47" xr6:coauthVersionMax="47" xr10:uidLastSave="{00000000-0000-0000-0000-000000000000}"/>
  <bookViews>
    <workbookView xWindow="-28920" yWindow="1650" windowWidth="29040" windowHeight="15720" xr2:uid="{00000000-000D-0000-FFFF-FFFF00000000}"/>
  </bookViews>
  <sheets>
    <sheet name="Cost Calculator" sheetId="3" r:id="rId1"/>
    <sheet name="Model Comparison" sheetId="1" r:id="rId2"/>
    <sheet name="Service Alternativ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" l="1"/>
  <c r="C46" i="3"/>
  <c r="B46" i="3"/>
  <c r="D45" i="3"/>
  <c r="C45" i="3"/>
  <c r="B45" i="3"/>
  <c r="D44" i="3"/>
  <c r="C44" i="3"/>
  <c r="B44" i="3"/>
  <c r="D42" i="3"/>
  <c r="C42" i="3"/>
  <c r="B42" i="3"/>
  <c r="D41" i="3"/>
  <c r="C41" i="3"/>
  <c r="B41" i="3"/>
  <c r="D40" i="3"/>
  <c r="C40" i="3"/>
  <c r="B40" i="3"/>
  <c r="B30" i="3"/>
  <c r="B31" i="3" s="1"/>
  <c r="B29" i="3"/>
  <c r="D37" i="3" s="1"/>
  <c r="D38" i="3" l="1"/>
  <c r="C38" i="3"/>
  <c r="B57" i="3" s="1"/>
  <c r="B38" i="3"/>
  <c r="B32" i="3"/>
  <c r="B37" i="3"/>
  <c r="C37" i="3"/>
  <c r="B58" i="3" l="1"/>
  <c r="B39" i="3"/>
  <c r="B33" i="3"/>
  <c r="C39" i="3"/>
  <c r="D39" i="3"/>
  <c r="B43" i="3" l="1"/>
  <c r="B48" i="3" s="1"/>
  <c r="B51" i="3" s="1"/>
  <c r="B52" i="3" s="1"/>
  <c r="D43" i="3"/>
  <c r="D48" i="3" s="1"/>
  <c r="D51" i="3" s="1"/>
  <c r="D52" i="3" s="1"/>
  <c r="C43" i="3"/>
  <c r="C48" i="3" s="1"/>
  <c r="C51" i="3" s="1"/>
  <c r="B56" i="3" l="1"/>
  <c r="B55" i="3"/>
  <c r="C52" i="3"/>
</calcChain>
</file>

<file path=xl/sharedStrings.xml><?xml version="1.0" encoding="utf-8"?>
<sst xmlns="http://schemas.openxmlformats.org/spreadsheetml/2006/main" count="352" uniqueCount="315">
  <si>
    <t>AWS Bedrock Model Comparison for Claims Copilot (June 2026)</t>
  </si>
  <si>
    <t>AVAILABLE BEDROCK MODELS (Claude 3.x models are RETIRED)</t>
  </si>
  <si>
    <t>Model</t>
  </si>
  <si>
    <t>Input $/1M</t>
  </si>
  <si>
    <t>Output $/1M</t>
  </si>
  <si>
    <t>Speed</t>
  </si>
  <si>
    <t>Quality</t>
  </si>
  <si>
    <t>Recommended For</t>
  </si>
  <si>
    <t>Trade-offs</t>
  </si>
  <si>
    <t>Claude Haiku 4.5</t>
  </si>
  <si>
    <t>⚡⚡⚡</t>
  </si>
  <si>
    <t>★★★★</t>
  </si>
  <si>
    <t>RECOMMENDED - Best balance</t>
  </si>
  <si>
    <t>Fast, cost-effective, great tool-calling</t>
  </si>
  <si>
    <t>Claude Sonnet 4.5</t>
  </si>
  <si>
    <t>⚡⚡</t>
  </si>
  <si>
    <t>★★★★★</t>
  </si>
  <si>
    <t>Complex investigations</t>
  </si>
  <si>
    <t>3x cost of Haiku, better reasoning</t>
  </si>
  <si>
    <t>Claude Sonnet 4.6</t>
  </si>
  <si>
    <t>Latest mid-tier</t>
  </si>
  <si>
    <t>Newest Sonnet, slight premium</t>
  </si>
  <si>
    <t>Claude Opus 4.5</t>
  </si>
  <si>
    <t>⚡</t>
  </si>
  <si>
    <t>★★★★★+</t>
  </si>
  <si>
    <t>Critical decisions</t>
  </si>
  <si>
    <t>15x cost of Haiku, top quality</t>
  </si>
  <si>
    <t>Claude Opus 4.8</t>
  </si>
  <si>
    <t>Absolute best quality</t>
  </si>
  <si>
    <t>Latest Opus, highest cost</t>
  </si>
  <si>
    <t>Llama 3.2 90B</t>
  </si>
  <si>
    <t>★★★</t>
  </si>
  <si>
    <t>Cost-sensitive</t>
  </si>
  <si>
    <t>Open source, less reliable tool-calling</t>
  </si>
  <si>
    <t>Amazon Nova Pro</t>
  </si>
  <si>
    <t>AWS-native option</t>
  </si>
  <si>
    <t>Cheaper but less capable than Claude</t>
  </si>
  <si>
    <t>Mistral Large 2</t>
  </si>
  <si>
    <t>Alternative to Sonnet</t>
  </si>
  <si>
    <t>Good quality, different strengths</t>
  </si>
  <si>
    <t>RECOMMENDATION ANALYSIS</t>
  </si>
  <si>
    <t>Why Claude Haiku 4.5?</t>
  </si>
  <si>
    <t>Best cost/performance for Claims Copilot workload:</t>
  </si>
  <si>
    <t>• Tool-calling reliability: 95%+ success rate on structured outputs</t>
  </si>
  <si>
    <t>• Speed: 2-4 second responses (excellent for chat UX)</t>
  </si>
  <si>
    <t>• Cost: $1.00/M input is 3x cheaper than Sonnet 4.5</t>
  </si>
  <si>
    <t>• Vision: Supports document analysis at same price tier</t>
  </si>
  <si>
    <t>Is Haiku 4.5 overkill?</t>
  </si>
  <si>
    <t>NO - it's the minimum viable for agentic workflows:</t>
  </si>
  <si>
    <t>• Older Claude 3.x models are RETIRED (no longer available)</t>
  </si>
  <si>
    <t>• Llama/Nova are cheaper but have 80-85% tool-calling success vs 95%+</t>
  </si>
  <si>
    <t>• Haiku 4.5 is the entry point for reliable agent orchestration</t>
  </si>
  <si>
    <t>When to upgrade?</t>
  </si>
  <si>
    <t>Consider Claude Sonnet 4.5/4.6 (3x cost) if:</t>
  </si>
  <si>
    <t>• Investigation accuracy is critical and Haiku misses fraud patterns</t>
  </si>
  <si>
    <t>• Regulatory scrutiny requires deeper reasoning chains</t>
  </si>
  <si>
    <t>• Human reviewers frequently disagree with AI recommendations</t>
  </si>
  <si>
    <t>When to use Opus?</t>
  </si>
  <si>
    <t>Consider Claude Opus 4.x (15-20x cost) only if:</t>
  </si>
  <si>
    <t>• Handling edge cases that require exceptional reasoning</t>
  </si>
  <si>
    <t>• Final decision-maker with legal/compliance implications</t>
  </si>
  <si>
    <t>• Budget is not a primary constraint</t>
  </si>
  <si>
    <t>MONTHLY COST COMPARISON (50 users, 500 claims/day, same workload)</t>
  </si>
  <si>
    <t>Chat Cost</t>
  </si>
  <si>
    <t>Investigation Cost</t>
  </si>
  <si>
    <t>Vision Cost</t>
  </si>
  <si>
    <t>Total Bedrock</t>
  </si>
  <si>
    <t>vs Haiku 3.5</t>
  </si>
  <si>
    <t>Notes</t>
  </si>
  <si>
    <t>—</t>
  </si>
  <si>
    <t>RECOMMENDED</t>
  </si>
  <si>
    <t>+200%</t>
  </si>
  <si>
    <t>Premium quality</t>
  </si>
  <si>
    <t>+249%</t>
  </si>
  <si>
    <t>Latest Sonnet</t>
  </si>
  <si>
    <t>+1399%</t>
  </si>
  <si>
    <t>Top tier, high cost</t>
  </si>
  <si>
    <t>+1898%</t>
  </si>
  <si>
    <t>Best quality, highest cost</t>
  </si>
  <si>
    <t>-20%</t>
  </si>
  <si>
    <t>Cheaper but less reliable</t>
  </si>
  <si>
    <t>+20%</t>
  </si>
  <si>
    <t>Open source alternative</t>
  </si>
  <si>
    <t>AWS Service Alternatives &amp; Trade-offs</t>
  </si>
  <si>
    <t>COMPUTE OPTIONS</t>
  </si>
  <si>
    <t>Option</t>
  </si>
  <si>
    <t>Monthly Cost (50 users)</t>
  </si>
  <si>
    <t>Pros</t>
  </si>
  <si>
    <t>Cons</t>
  </si>
  <si>
    <t>Recommendation</t>
  </si>
  <si>
    <t>ECS Fargate</t>
  </si>
  <si>
    <t>$340</t>
  </si>
  <si>
    <t>No server mgmt, auto-scaling</t>
  </si>
  <si>
    <t>Higher cost than EC2</t>
  </si>
  <si>
    <t>RECOMMENDED for &lt;100 users</t>
  </si>
  <si>
    <t>ECS on EC2</t>
  </si>
  <si>
    <t>$200</t>
  </si>
  <si>
    <t>40% cheaper, Spot instances</t>
  </si>
  <si>
    <t>More ops overhead</t>
  </si>
  <si>
    <t>Consider for cost-sensitive</t>
  </si>
  <si>
    <t>Lambda + API GW</t>
  </si>
  <si>
    <t>$150</t>
  </si>
  <si>
    <t>Pay-per-request, scales to zero</t>
  </si>
  <si>
    <t>Cold starts, 15min limit</t>
  </si>
  <si>
    <t>Good for variable load</t>
  </si>
  <si>
    <t>EKS Fargate</t>
  </si>
  <si>
    <t>$400</t>
  </si>
  <si>
    <t>K8s ecosystem, portable</t>
  </si>
  <si>
    <t>Complexity, learning curve</t>
  </si>
  <si>
    <t>Only if K8s required</t>
  </si>
  <si>
    <t>App Runner</t>
  </si>
  <si>
    <t>$280</t>
  </si>
  <si>
    <t>Simplest deployment</t>
  </si>
  <si>
    <t>Less control, fewer options</t>
  </si>
  <si>
    <t>Good for simple APIs</t>
  </si>
  <si>
    <t>DATABASE OPTIONS</t>
  </si>
  <si>
    <t>Monthly Cost</t>
  </si>
  <si>
    <t>RDS PostgreSQL t3.medium</t>
  </si>
  <si>
    <t>$101 (Multi-AZ)</t>
  </si>
  <si>
    <t>Managed, reliable, Multi-AZ</t>
  </si>
  <si>
    <t>Fixed cost even if idle</t>
  </si>
  <si>
    <t>RECOMMENDED for prod</t>
  </si>
  <si>
    <t>RDS PostgreSQL t3.small</t>
  </si>
  <si>
    <t>$50 (Single-AZ)</t>
  </si>
  <si>
    <t>Cheaper for non-prod</t>
  </si>
  <si>
    <t>No HA, risk of downtime</t>
  </si>
  <si>
    <t>Good for staging/dev</t>
  </si>
  <si>
    <t>Aurora Serverless v2</t>
  </si>
  <si>
    <t>$80-300</t>
  </si>
  <si>
    <t>Auto-scales, pay-per-use</t>
  </si>
  <si>
    <t>Can spike unexpectedly</t>
  </si>
  <si>
    <t>Consider for variable load</t>
  </si>
  <si>
    <t>DynamoDB</t>
  </si>
  <si>
    <t>$50-150</t>
  </si>
  <si>
    <t>Serverless, fast reads</t>
  </si>
  <si>
    <t>Complex queries harder</t>
  </si>
  <si>
    <t>Good for simple key-value</t>
  </si>
  <si>
    <t>Aurora PostgreSQL</t>
  </si>
  <si>
    <t>$200+</t>
  </si>
  <si>
    <t>High performance, read replicas</t>
  </si>
  <si>
    <t>More expensive</t>
  </si>
  <si>
    <t>For high-volume (&gt;1K TPS)</t>
  </si>
  <si>
    <t>CACHING OPTIONS</t>
  </si>
  <si>
    <t>ElastiCache Redis t3.small</t>
  </si>
  <si>
    <t>$25</t>
  </si>
  <si>
    <t>Full Redis features, reliable</t>
  </si>
  <si>
    <t>Fixed cost</t>
  </si>
  <si>
    <t>ElastiCache Redis t3.micro</t>
  </si>
  <si>
    <t>$13</t>
  </si>
  <si>
    <t>Cheapest managed option</t>
  </si>
  <si>
    <t>Limited memory (500MB)</t>
  </si>
  <si>
    <t>OK for &lt;20 users</t>
  </si>
  <si>
    <t>ElastiCache Serverless</t>
  </si>
  <si>
    <t>$20-100</t>
  </si>
  <si>
    <t>Auto-scales, no sizing</t>
  </si>
  <si>
    <t>Can be unpredictable cost</t>
  </si>
  <si>
    <t>DynamoDB DAX</t>
  </si>
  <si>
    <t>$50+</t>
  </si>
  <si>
    <t>If using DynamoDB already</t>
  </si>
  <si>
    <t>Only for DynamoDB</t>
  </si>
  <si>
    <t>Only with DynamoDB</t>
  </si>
  <si>
    <t>In-memory (no cache)</t>
  </si>
  <si>
    <t>$0</t>
  </si>
  <si>
    <t>No extra cost</t>
  </si>
  <si>
    <t>Slower, lost on restart</t>
  </si>
  <si>
    <t>Only for demo/dev</t>
  </si>
  <si>
    <t>BEDROCK OPTIMIZATION OPTIONS</t>
  </si>
  <si>
    <t>Savings</t>
  </si>
  <si>
    <t>On-Demand (default)</t>
  </si>
  <si>
    <t>0%</t>
  </si>
  <si>
    <t>No commitment, flexible</t>
  </si>
  <si>
    <t>Full price</t>
  </si>
  <si>
    <t>Start here</t>
  </si>
  <si>
    <t>Batch API</t>
  </si>
  <si>
    <t>50%</t>
  </si>
  <si>
    <t>Half price for async jobs</t>
  </si>
  <si>
    <t>24hr max latency</t>
  </si>
  <si>
    <t>RECOMMENDED for investigations</t>
  </si>
  <si>
    <t>Provisioned Throughput</t>
  </si>
  <si>
    <t>20-40%</t>
  </si>
  <si>
    <t>Guaranteed capacity</t>
  </si>
  <si>
    <t>$10K+ commitment</t>
  </si>
  <si>
    <t>Only for &gt;100K claims/month</t>
  </si>
  <si>
    <t>Prompt Caching</t>
  </si>
  <si>
    <t>10-30%</t>
  </si>
  <si>
    <t>Cache system prompts</t>
  </si>
  <si>
    <t>Requires code changes</t>
  </si>
  <si>
    <t>Implement for chat</t>
  </si>
  <si>
    <t>Response Caching (Redis)</t>
  </si>
  <si>
    <t>Variable</t>
  </si>
  <si>
    <t>Avoid repeat LLM calls</t>
  </si>
  <si>
    <t>Stale responses risk</t>
  </si>
  <si>
    <t>Good for common queries</t>
  </si>
  <si>
    <t>INPUT PARAMETERS (Enter values in YELLOW cells)</t>
  </si>
  <si>
    <t>Question</t>
  </si>
  <si>
    <t>Your Input</t>
  </si>
  <si>
    <t>Unit</t>
  </si>
  <si>
    <t>Min-Max Range</t>
  </si>
  <si>
    <t>Guidance</t>
  </si>
  <si>
    <t>1. Concurrent examiners</t>
  </si>
  <si>
    <t>users</t>
  </si>
  <si>
    <t>5-500</t>
  </si>
  <si>
    <t>Active users at same time</t>
  </si>
  <si>
    <t>2. New claims per day</t>
  </si>
  <si>
    <t>claims/day</t>
  </si>
  <si>
    <t>100-10,000</t>
  </si>
  <si>
    <t>Daily incoming claims</t>
  </si>
  <si>
    <t>3. Chat messages per examiner/day</t>
  </si>
  <si>
    <t>messages</t>
  </si>
  <si>
    <t>20-100</t>
  </si>
  <si>
    <t>Copilot interactions per user</t>
  </si>
  <si>
    <t>4. % claims needing AI investigation</t>
  </si>
  <si>
    <t>%</t>
  </si>
  <si>
    <t>10-50</t>
  </si>
  <si>
    <t>Full investigation rate</t>
  </si>
  <si>
    <t>5. Documents per claim</t>
  </si>
  <si>
    <t>docs</t>
  </si>
  <si>
    <t>1-10</t>
  </si>
  <si>
    <t>Attachments per claim</t>
  </si>
  <si>
    <t>6. Average document size</t>
  </si>
  <si>
    <t>MB</t>
  </si>
  <si>
    <t>0.5-5</t>
  </si>
  <si>
    <t>Image/PDF file size</t>
  </si>
  <si>
    <t>7. Data retention period</t>
  </si>
  <si>
    <t>years</t>
  </si>
  <si>
    <t>1-7</t>
  </si>
  <si>
    <t>How long to keep data</t>
  </si>
  <si>
    <t>8. Uptime SLA</t>
  </si>
  <si>
    <t>99.5-99.99</t>
  </si>
  <si>
    <t>99.9=Multi-AZ, 99.99=Multi-region</t>
  </si>
  <si>
    <t>9. Number of environments</t>
  </si>
  <si>
    <t>envs</t>
  </si>
  <si>
    <t>1-3</t>
  </si>
  <si>
    <t>1=Prod, 2=+Staging, 3=+Dev</t>
  </si>
  <si>
    <t>10. Working days per month</t>
  </si>
  <si>
    <t>days</t>
  </si>
  <si>
    <t>20-25</t>
  </si>
  <si>
    <t>Business days</t>
  </si>
  <si>
    <t>MODEL SELECTION (Change pricing to see alternatives)</t>
  </si>
  <si>
    <t>Model Option</t>
  </si>
  <si>
    <t>Selected?</t>
  </si>
  <si>
    <t>Amazon Nova Pro (Budget)</t>
  </si>
  <si>
    <t>Cheapest, less capable</t>
  </si>
  <si>
    <t>Claude Haiku 4.5 (Recommended)</t>
  </si>
  <si>
    <t>✓</t>
  </si>
  <si>
    <t>Best balance - DEFAULT</t>
  </si>
  <si>
    <t>Claude Sonnet 4.5 (Premium)</t>
  </si>
  <si>
    <t>Higher quality, 3x cost</t>
  </si>
  <si>
    <t>Claude Sonnet 4.6 (Latest Mid)</t>
  </si>
  <si>
    <t>Newest Sonnet</t>
  </si>
  <si>
    <t>Claude Opus 4.5+ (Enterprise)</t>
  </si>
  <si>
    <t>Top tier, 15x cost</t>
  </si>
  <si>
    <t>ACTIVE MODEL PRICING (edit B/C in row with ✓)</t>
  </si>
  <si>
    <t>Input token price ($/1M)</t>
  </si>
  <si>
    <t>Output token price ($/1M)</t>
  </si>
  <si>
    <t>CALCULATED MONTHLY VOLUMES</t>
  </si>
  <si>
    <t>Chat messages/month</t>
  </si>
  <si>
    <t>Claims/month</t>
  </si>
  <si>
    <t>Investigations/month</t>
  </si>
  <si>
    <t>Documents/month</t>
  </si>
  <si>
    <t>Storage growth/month (GB)</t>
  </si>
  <si>
    <t>MONTHLY COST BREAKDOWN</t>
  </si>
  <si>
    <t>Category</t>
  </si>
  <si>
    <t>Low Estimate</t>
  </si>
  <si>
    <t>Base Estimate</t>
  </si>
  <si>
    <t>High Estimate</t>
  </si>
  <si>
    <t>Bedrock - Copilot Chat</t>
  </si>
  <si>
    <t>1.5K-3K input, 400-800 output per msg</t>
  </si>
  <si>
    <t>Bedrock - AI Investigations</t>
  </si>
  <si>
    <t>8-15 LLM calls per investigation</t>
  </si>
  <si>
    <t>Bedrock - Document Vision</t>
  </si>
  <si>
    <t>Tokens scale with image size</t>
  </si>
  <si>
    <t>Compute - ECS Fargate</t>
  </si>
  <si>
    <t>1 task per 20-30 users, 2vCPU/4GB</t>
  </si>
  <si>
    <t>Database - RDS PostgreSQL</t>
  </si>
  <si>
    <t>Multi-AZ if SLA&gt;=99.9%</t>
  </si>
  <si>
    <t>Cache - ElastiCache Redis</t>
  </si>
  <si>
    <t>t3.micro to t3.medium</t>
  </si>
  <si>
    <t>Storage - S3</t>
  </si>
  <si>
    <t>Avg storage over retention</t>
  </si>
  <si>
    <t>Networking - ALB + API Gateway</t>
  </si>
  <si>
    <t>ALB + API requests</t>
  </si>
  <si>
    <t>Monitoring - CloudWatch</t>
  </si>
  <si>
    <t>Logs, metrics, alarms</t>
  </si>
  <si>
    <t>Security - KMS + Secrets</t>
  </si>
  <si>
    <t>Encryption + secrets mgmt</t>
  </si>
  <si>
    <t>Additional Environments (Staging/Dev)</t>
  </si>
  <si>
    <t>40-60% of prod per additional env</t>
  </si>
  <si>
    <t>TOTAL MONTHLY COST</t>
  </si>
  <si>
    <t>GRAND TOTAL - MONTHLY</t>
  </si>
  <si>
    <t>Low / Base / High estimates</t>
  </si>
  <si>
    <t>GRAND TOTAL - ANNUAL</t>
  </si>
  <si>
    <t>12-month projection</t>
  </si>
  <si>
    <t>UNIT ECONOMICS (Base Estimate)</t>
  </si>
  <si>
    <t>Cost per claim</t>
  </si>
  <si>
    <t>Cost per user per month</t>
  </si>
  <si>
    <t>Cost per investigation</t>
  </si>
  <si>
    <t>Cost per chat message</t>
  </si>
  <si>
    <t>POTENTIAL OPTIMIZATIONS (See 'Service Alternatives' sheet for details)</t>
  </si>
  <si>
    <t>• Bedrock Batch API for investigations</t>
  </si>
  <si>
    <t>50% savings on investigation costs</t>
  </si>
  <si>
    <t>Use for non-urgent overnight processing</t>
  </si>
  <si>
    <t>• Reserved RDS capacity (1-year)</t>
  </si>
  <si>
    <t>40% savings on database</t>
  </si>
  <si>
    <t>Commit to 1-year term</t>
  </si>
  <si>
    <t>• Spot instances for staging</t>
  </si>
  <si>
    <t>70% savings on staging compute</t>
  </si>
  <si>
    <t>Accept possible interruptions</t>
  </si>
  <si>
    <t>• Response caching in Redis</t>
  </si>
  <si>
    <t>10-30% savings on repeat queries</t>
  </si>
  <si>
    <t>Implement for common questions</t>
  </si>
  <si>
    <t>• S3 Intelligent Tiering</t>
  </si>
  <si>
    <t>20% savings on cold storage</t>
  </si>
  <si>
    <t>Auto-tier old documents</t>
  </si>
  <si>
    <t>Claims Co-Pilot Cost Calculator - Claims 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</si>
</sst>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#,##0.0"/>
    <numFmt numFmtId="166" formatCode="&quot;$&quot;#,##0.000"/>
    <numFmt numFmtId="167" formatCode="&quot;$&quot;#,##0.0000"/>
  </numFmts>
  <fonts count="6" x14ac:knownFonts="1">
    <font>
      <sz val="11"/>
      <color theme="1"/>
      <name val="Calibri"/>
      <family val="2"/>
      <scheme val="minor"/>
    </font>
    <font>
      <b/>
      <sz val="18"/>
      <color rgb="FF2F5496"/>
      <name val="Calibri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0" fillId="4" borderId="1" xfId="0" applyFill="1" applyBorder="1"/>
    <xf numFmtId="3" fontId="0" fillId="5" borderId="1" xfId="0" applyNumberFormat="1" applyFill="1" applyBorder="1"/>
    <xf numFmtId="4" fontId="0" fillId="5" borderId="1" xfId="0" applyNumberFormat="1" applyFill="1" applyBorder="1"/>
    <xf numFmtId="0" fontId="0" fillId="5" borderId="1" xfId="0" applyFill="1" applyBorder="1"/>
    <xf numFmtId="164" fontId="0" fillId="5" borderId="0" xfId="0" applyNumberFormat="1" applyFill="1"/>
    <xf numFmtId="0" fontId="0" fillId="6" borderId="1" xfId="0" applyFill="1" applyBorder="1"/>
    <xf numFmtId="3" fontId="0" fillId="6" borderId="1" xfId="0" applyNumberFormat="1" applyFill="1" applyBorder="1"/>
    <xf numFmtId="165" fontId="0" fillId="6" borderId="1" xfId="0" applyNumberFormat="1" applyFill="1" applyBorder="1"/>
    <xf numFmtId="0" fontId="5" fillId="7" borderId="1" xfId="0" applyFont="1" applyFill="1" applyBorder="1"/>
    <xf numFmtId="164" fontId="5" fillId="7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0" xfId="0"/>
    <xf numFmtId="0" fontId="2" fillId="2" borderId="0" xfId="0" applyFont="1" applyFill="1"/>
    <xf numFmtId="0" fontId="1" fillId="0" borderId="0" xfId="0" applyFont="1"/>
    <xf numFmtId="0" fontId="2" fillId="8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tabSelected="1" workbookViewId="0">
      <selection activeCell="A28" sqref="A28:E28"/>
    </sheetView>
  </sheetViews>
  <sheetFormatPr defaultRowHeight="14.5" x14ac:dyDescent="0.35"/>
  <cols>
    <col min="1" max="1" width="45" customWidth="1"/>
    <col min="2" max="4" width="18" customWidth="1"/>
    <col min="5" max="5" width="50" customWidth="1"/>
  </cols>
  <sheetData>
    <row r="1" spans="1:5" ht="23.5" x14ac:dyDescent="0.55000000000000004">
      <c r="A1" s="24" t="s">
        <v>314</v>
      </c>
      <c r="B1" s="20"/>
      <c r="C1" s="20"/>
      <c r="D1" s="20"/>
      <c r="E1" s="20"/>
    </row>
    <row r="3" spans="1:5" ht="18.5" x14ac:dyDescent="0.45">
      <c r="A3" s="21" t="s">
        <v>193</v>
      </c>
      <c r="B3" s="20"/>
      <c r="C3" s="20"/>
      <c r="D3" s="20"/>
      <c r="E3" s="20"/>
    </row>
    <row r="4" spans="1:5" x14ac:dyDescent="0.35">
      <c r="A4" s="1" t="s">
        <v>194</v>
      </c>
      <c r="B4" s="1" t="s">
        <v>195</v>
      </c>
      <c r="C4" s="1" t="s">
        <v>196</v>
      </c>
      <c r="D4" s="1" t="s">
        <v>197</v>
      </c>
      <c r="E4" s="1" t="s">
        <v>198</v>
      </c>
    </row>
    <row r="5" spans="1:5" x14ac:dyDescent="0.35">
      <c r="A5" s="2" t="s">
        <v>199</v>
      </c>
      <c r="B5" s="8">
        <v>50</v>
      </c>
      <c r="C5" s="2" t="s">
        <v>200</v>
      </c>
      <c r="D5" s="2" t="s">
        <v>201</v>
      </c>
      <c r="E5" s="2" t="s">
        <v>202</v>
      </c>
    </row>
    <row r="6" spans="1:5" x14ac:dyDescent="0.35">
      <c r="A6" s="2" t="s">
        <v>203</v>
      </c>
      <c r="B6" s="8">
        <v>500</v>
      </c>
      <c r="C6" s="2" t="s">
        <v>204</v>
      </c>
      <c r="D6" s="2" t="s">
        <v>205</v>
      </c>
      <c r="E6" s="2" t="s">
        <v>206</v>
      </c>
    </row>
    <row r="7" spans="1:5" x14ac:dyDescent="0.35">
      <c r="A7" s="2" t="s">
        <v>207</v>
      </c>
      <c r="B7" s="8">
        <v>40</v>
      </c>
      <c r="C7" s="2" t="s">
        <v>208</v>
      </c>
      <c r="D7" s="2" t="s">
        <v>209</v>
      </c>
      <c r="E7" s="2" t="s">
        <v>210</v>
      </c>
    </row>
    <row r="8" spans="1:5" x14ac:dyDescent="0.35">
      <c r="A8" s="2" t="s">
        <v>211</v>
      </c>
      <c r="B8" s="8">
        <v>25</v>
      </c>
      <c r="C8" s="2" t="s">
        <v>212</v>
      </c>
      <c r="D8" s="2" t="s">
        <v>213</v>
      </c>
      <c r="E8" s="2" t="s">
        <v>214</v>
      </c>
    </row>
    <row r="9" spans="1:5" x14ac:dyDescent="0.35">
      <c r="A9" s="2" t="s">
        <v>215</v>
      </c>
      <c r="B9" s="8">
        <v>3</v>
      </c>
      <c r="C9" s="2" t="s">
        <v>216</v>
      </c>
      <c r="D9" s="2" t="s">
        <v>217</v>
      </c>
      <c r="E9" s="2" t="s">
        <v>218</v>
      </c>
    </row>
    <row r="10" spans="1:5" x14ac:dyDescent="0.35">
      <c r="A10" s="2" t="s">
        <v>219</v>
      </c>
      <c r="B10" s="9">
        <v>1.5</v>
      </c>
      <c r="C10" s="2" t="s">
        <v>220</v>
      </c>
      <c r="D10" s="2" t="s">
        <v>221</v>
      </c>
      <c r="E10" s="2" t="s">
        <v>222</v>
      </c>
    </row>
    <row r="11" spans="1:5" x14ac:dyDescent="0.35">
      <c r="A11" s="2" t="s">
        <v>223</v>
      </c>
      <c r="B11" s="8">
        <v>3</v>
      </c>
      <c r="C11" s="2" t="s">
        <v>224</v>
      </c>
      <c r="D11" s="2" t="s">
        <v>225</v>
      </c>
      <c r="E11" s="2" t="s">
        <v>226</v>
      </c>
    </row>
    <row r="12" spans="1:5" x14ac:dyDescent="0.35">
      <c r="A12" s="2" t="s">
        <v>227</v>
      </c>
      <c r="B12" s="9">
        <v>99.9</v>
      </c>
      <c r="C12" s="2" t="s">
        <v>212</v>
      </c>
      <c r="D12" s="2" t="s">
        <v>228</v>
      </c>
      <c r="E12" s="2" t="s">
        <v>229</v>
      </c>
    </row>
    <row r="13" spans="1:5" x14ac:dyDescent="0.35">
      <c r="A13" s="2" t="s">
        <v>230</v>
      </c>
      <c r="B13" s="8">
        <v>2</v>
      </c>
      <c r="C13" s="2" t="s">
        <v>231</v>
      </c>
      <c r="D13" s="2" t="s">
        <v>232</v>
      </c>
      <c r="E13" s="2" t="s">
        <v>233</v>
      </c>
    </row>
    <row r="14" spans="1:5" x14ac:dyDescent="0.35">
      <c r="A14" s="2" t="s">
        <v>234</v>
      </c>
      <c r="B14" s="8">
        <v>22</v>
      </c>
      <c r="C14" s="2" t="s">
        <v>235</v>
      </c>
      <c r="D14" s="2" t="s">
        <v>236</v>
      </c>
      <c r="E14" s="2" t="s">
        <v>237</v>
      </c>
    </row>
    <row r="16" spans="1:5" ht="18.5" x14ac:dyDescent="0.45">
      <c r="A16" s="21" t="s">
        <v>238</v>
      </c>
      <c r="B16" s="20"/>
      <c r="C16" s="20"/>
      <c r="D16" s="20"/>
      <c r="E16" s="20"/>
    </row>
    <row r="17" spans="1:5" x14ac:dyDescent="0.35">
      <c r="A17" s="1" t="s">
        <v>239</v>
      </c>
      <c r="B17" s="1" t="s">
        <v>3</v>
      </c>
      <c r="C17" s="1" t="s">
        <v>4</v>
      </c>
      <c r="D17" s="1" t="s">
        <v>240</v>
      </c>
      <c r="E17" s="1" t="s">
        <v>68</v>
      </c>
    </row>
    <row r="18" spans="1:5" x14ac:dyDescent="0.35">
      <c r="A18" s="2" t="s">
        <v>241</v>
      </c>
      <c r="B18" s="3">
        <v>0.8</v>
      </c>
      <c r="C18" s="3">
        <v>3.2</v>
      </c>
      <c r="D18" s="10"/>
      <c r="E18" s="2" t="s">
        <v>242</v>
      </c>
    </row>
    <row r="19" spans="1:5" x14ac:dyDescent="0.35">
      <c r="A19" s="2" t="s">
        <v>243</v>
      </c>
      <c r="B19" s="3">
        <v>1</v>
      </c>
      <c r="C19" s="3">
        <v>5</v>
      </c>
      <c r="D19" s="7" t="s">
        <v>244</v>
      </c>
      <c r="E19" s="2" t="s">
        <v>245</v>
      </c>
    </row>
    <row r="20" spans="1:5" x14ac:dyDescent="0.35">
      <c r="A20" s="2" t="s">
        <v>246</v>
      </c>
      <c r="B20" s="3">
        <v>3</v>
      </c>
      <c r="C20" s="3">
        <v>15</v>
      </c>
      <c r="D20" s="10"/>
      <c r="E20" s="2" t="s">
        <v>247</v>
      </c>
    </row>
    <row r="21" spans="1:5" x14ac:dyDescent="0.35">
      <c r="A21" s="2" t="s">
        <v>248</v>
      </c>
      <c r="B21" s="3">
        <v>3.5</v>
      </c>
      <c r="C21" s="3">
        <v>17.5</v>
      </c>
      <c r="D21" s="10"/>
      <c r="E21" s="2" t="s">
        <v>249</v>
      </c>
    </row>
    <row r="22" spans="1:5" x14ac:dyDescent="0.35">
      <c r="A22" s="2" t="s">
        <v>250</v>
      </c>
      <c r="B22" s="3">
        <v>15</v>
      </c>
      <c r="C22" s="3">
        <v>75</v>
      </c>
      <c r="D22" s="10"/>
      <c r="E22" s="2" t="s">
        <v>251</v>
      </c>
    </row>
    <row r="24" spans="1:5" x14ac:dyDescent="0.35">
      <c r="A24" s="4" t="s">
        <v>252</v>
      </c>
    </row>
    <row r="25" spans="1:5" x14ac:dyDescent="0.35">
      <c r="A25" t="s">
        <v>253</v>
      </c>
      <c r="B25" s="11">
        <v>1</v>
      </c>
    </row>
    <row r="26" spans="1:5" x14ac:dyDescent="0.35">
      <c r="A26" t="s">
        <v>254</v>
      </c>
      <c r="B26" s="11">
        <v>5</v>
      </c>
    </row>
    <row r="28" spans="1:5" ht="18.5" x14ac:dyDescent="0.45">
      <c r="A28" s="21" t="s">
        <v>255</v>
      </c>
      <c r="B28" s="20"/>
      <c r="C28" s="20"/>
      <c r="D28" s="20"/>
      <c r="E28" s="20"/>
    </row>
    <row r="29" spans="1:5" x14ac:dyDescent="0.35">
      <c r="A29" s="12" t="s">
        <v>256</v>
      </c>
      <c r="B29" s="13">
        <f>B5*B7*B14</f>
        <v>44000</v>
      </c>
    </row>
    <row r="30" spans="1:5" x14ac:dyDescent="0.35">
      <c r="A30" s="12" t="s">
        <v>257</v>
      </c>
      <c r="B30" s="13">
        <f>B6*B14</f>
        <v>11000</v>
      </c>
    </row>
    <row r="31" spans="1:5" x14ac:dyDescent="0.35">
      <c r="A31" s="12" t="s">
        <v>258</v>
      </c>
      <c r="B31" s="13">
        <f>B30*B8/100</f>
        <v>2750</v>
      </c>
    </row>
    <row r="32" spans="1:5" x14ac:dyDescent="0.35">
      <c r="A32" s="12" t="s">
        <v>259</v>
      </c>
      <c r="B32" s="13">
        <f>B30*B9</f>
        <v>33000</v>
      </c>
    </row>
    <row r="33" spans="1:5" x14ac:dyDescent="0.35">
      <c r="A33" s="12" t="s">
        <v>260</v>
      </c>
      <c r="B33" s="14">
        <f>B32*B10/1024</f>
        <v>48.33984375</v>
      </c>
    </row>
    <row r="35" spans="1:5" ht="18.5" x14ac:dyDescent="0.45">
      <c r="A35" s="21" t="s">
        <v>261</v>
      </c>
      <c r="B35" s="20"/>
      <c r="C35" s="20"/>
      <c r="D35" s="20"/>
      <c r="E35" s="20"/>
    </row>
    <row r="36" spans="1:5" x14ac:dyDescent="0.35">
      <c r="A36" s="1" t="s">
        <v>262</v>
      </c>
      <c r="B36" s="1" t="s">
        <v>263</v>
      </c>
      <c r="C36" s="1" t="s">
        <v>264</v>
      </c>
      <c r="D36" s="1" t="s">
        <v>265</v>
      </c>
      <c r="E36" s="1" t="s">
        <v>68</v>
      </c>
    </row>
    <row r="37" spans="1:5" x14ac:dyDescent="0.35">
      <c r="A37" s="2" t="s">
        <v>266</v>
      </c>
      <c r="B37" s="3">
        <f>(B29*1500/1000000*B25)+(B29*400/1000000*B26)</f>
        <v>154</v>
      </c>
      <c r="C37" s="3">
        <f>(B29*2000/1000000*B25)+(B29*500/1000000*B26)</f>
        <v>198</v>
      </c>
      <c r="D37" s="3">
        <f>(B29*3000/1000000*B25)+(B29*800/1000000*B26)</f>
        <v>308</v>
      </c>
      <c r="E37" s="2" t="s">
        <v>267</v>
      </c>
    </row>
    <row r="38" spans="1:5" x14ac:dyDescent="0.35">
      <c r="A38" s="2" t="s">
        <v>268</v>
      </c>
      <c r="B38" s="3">
        <f>(B31*8*2500/1000000*B25)+(B31*8*600/1000000*B26)</f>
        <v>121</v>
      </c>
      <c r="C38" s="3">
        <f>(B31*12*3000/1000000*B25)+(B31*12*800/1000000*B26)</f>
        <v>231</v>
      </c>
      <c r="D38" s="3">
        <f>(B31*15*4000/1000000*B25)+(B31*15*1000/1000000*B26)</f>
        <v>371.25</v>
      </c>
      <c r="E38" s="2" t="s">
        <v>269</v>
      </c>
    </row>
    <row r="39" spans="1:5" x14ac:dyDescent="0.35">
      <c r="A39" s="2" t="s">
        <v>270</v>
      </c>
      <c r="B39" s="3">
        <f>(B32*(800+B10*200)/1000000*B25)+(B32*300/1000000*B26)</f>
        <v>85.8</v>
      </c>
      <c r="C39" s="3">
        <f>(B32*(1000+B10*300)/1000000*B25)+(B32*400/1000000*B26)</f>
        <v>113.85</v>
      </c>
      <c r="D39" s="3">
        <f>(B32*(1500+B10*500)/1000000*B25)+(B32*600/1000000*B26)</f>
        <v>173.25</v>
      </c>
      <c r="E39" s="2" t="s">
        <v>271</v>
      </c>
    </row>
    <row r="40" spans="1:5" x14ac:dyDescent="0.35">
      <c r="A40" s="2" t="s">
        <v>272</v>
      </c>
      <c r="B40" s="3">
        <f>CEILING(B5/30,1)*2*730*0.04048+CEILING(B5/30,1)*4*730*0.004445</f>
        <v>144.16040000000001</v>
      </c>
      <c r="C40" s="3">
        <f>CEILING(B5/25,1)*2*730*0.04048+CEILING(B5/25,1)*4*730*0.004445</f>
        <v>144.16040000000001</v>
      </c>
      <c r="D40" s="3">
        <f>CEILING(B5/20,1)*2*730*0.04048+CEILING(B5/20,1)*4*730*0.004445</f>
        <v>216.2406</v>
      </c>
      <c r="E40" s="2" t="s">
        <v>273</v>
      </c>
    </row>
    <row r="41" spans="1:5" x14ac:dyDescent="0.35">
      <c r="A41" s="2" t="s">
        <v>274</v>
      </c>
      <c r="B41" s="3">
        <f>IF(B12&lt;99.9,50,101)+15</f>
        <v>116</v>
      </c>
      <c r="C41" s="3">
        <f>IF(B12&lt;99.9,50,101)*IF(B12&gt;=99.99,2,1)+20</f>
        <v>121</v>
      </c>
      <c r="D41" s="3">
        <f>IF(B12&lt;99.9,75,150)*IF(B12&gt;=99.99,2,1)+30</f>
        <v>180</v>
      </c>
      <c r="E41" s="2" t="s">
        <v>275</v>
      </c>
    </row>
    <row r="42" spans="1:5" x14ac:dyDescent="0.35">
      <c r="A42" s="2" t="s">
        <v>276</v>
      </c>
      <c r="B42" s="3">
        <f>13</f>
        <v>13</v>
      </c>
      <c r="C42" s="3">
        <f>25</f>
        <v>25</v>
      </c>
      <c r="D42" s="3">
        <f>50</f>
        <v>50</v>
      </c>
      <c r="E42" s="2" t="s">
        <v>277</v>
      </c>
    </row>
    <row r="43" spans="1:5" x14ac:dyDescent="0.35">
      <c r="A43" s="2" t="s">
        <v>278</v>
      </c>
      <c r="B43" s="3">
        <f>B33*B11*6*0.023*0.8</f>
        <v>16.010156250000001</v>
      </c>
      <c r="C43" s="3">
        <f>B33*B11*6*0.023</f>
        <v>20.0126953125</v>
      </c>
      <c r="D43" s="3">
        <f>B33*B11*6*0.023*1.3</f>
        <v>26.016503906250001</v>
      </c>
      <c r="E43" s="2" t="s">
        <v>279</v>
      </c>
    </row>
    <row r="44" spans="1:5" x14ac:dyDescent="0.35">
      <c r="A44" s="2" t="s">
        <v>280</v>
      </c>
      <c r="B44" s="3">
        <f>22+2</f>
        <v>24</v>
      </c>
      <c r="C44" s="3">
        <f>22+5</f>
        <v>27</v>
      </c>
      <c r="D44" s="3">
        <f>22+15</f>
        <v>37</v>
      </c>
      <c r="E44" s="2" t="s">
        <v>281</v>
      </c>
    </row>
    <row r="45" spans="1:5" x14ac:dyDescent="0.35">
      <c r="A45" s="2" t="s">
        <v>282</v>
      </c>
      <c r="B45" s="3">
        <f>10</f>
        <v>10</v>
      </c>
      <c r="C45" s="3">
        <f>20</f>
        <v>20</v>
      </c>
      <c r="D45" s="3">
        <f>40</f>
        <v>40</v>
      </c>
      <c r="E45" s="2" t="s">
        <v>283</v>
      </c>
    </row>
    <row r="46" spans="1:5" x14ac:dyDescent="0.35">
      <c r="A46" s="2" t="s">
        <v>284</v>
      </c>
      <c r="B46" s="3">
        <f>5</f>
        <v>5</v>
      </c>
      <c r="C46" s="3">
        <f>9</f>
        <v>9</v>
      </c>
      <c r="D46" s="3">
        <f>15</f>
        <v>15</v>
      </c>
      <c r="E46" s="2" t="s">
        <v>285</v>
      </c>
    </row>
    <row r="48" spans="1:5" x14ac:dyDescent="0.35">
      <c r="A48" s="2" t="s">
        <v>286</v>
      </c>
      <c r="B48" s="3">
        <f>(B13-1)*0.4*(B37+B38+B39+B40+B41+B42+B43+B44+B45+B46)</f>
        <v>275.58822250000003</v>
      </c>
      <c r="C48" s="3">
        <f>(B13-1)*0.5*(C37+C38+C39+C40+C41+C42+C43+C44+C45+C46)</f>
        <v>454.51154765625</v>
      </c>
      <c r="D48" s="3">
        <f>(B13-1)*0.6*(D37+D38+D39+D40+D41+D42+D43+D44+D45+D46)</f>
        <v>850.05426234375</v>
      </c>
      <c r="E48" s="2" t="s">
        <v>287</v>
      </c>
    </row>
    <row r="50" spans="1:5" ht="18.5" x14ac:dyDescent="0.45">
      <c r="A50" s="21" t="s">
        <v>288</v>
      </c>
      <c r="B50" s="20"/>
      <c r="C50" s="20"/>
      <c r="D50" s="20"/>
      <c r="E50" s="20"/>
    </row>
    <row r="51" spans="1:5" ht="15.5" x14ac:dyDescent="0.35">
      <c r="A51" s="15" t="s">
        <v>289</v>
      </c>
      <c r="B51" s="16">
        <f>SUM(B37:B46)+B48</f>
        <v>964.5587787500001</v>
      </c>
      <c r="C51" s="16">
        <f>SUM(C37:C46)+C48</f>
        <v>1363.5346429687499</v>
      </c>
      <c r="D51" s="16">
        <f>SUM(D37:D46)+D48</f>
        <v>2266.81136625</v>
      </c>
      <c r="E51" s="17" t="s">
        <v>290</v>
      </c>
    </row>
    <row r="52" spans="1:5" ht="15.5" x14ac:dyDescent="0.35">
      <c r="A52" s="15" t="s">
        <v>291</v>
      </c>
      <c r="B52" s="16">
        <f>B51*12</f>
        <v>11574.705345000002</v>
      </c>
      <c r="C52" s="16">
        <f>C51*12</f>
        <v>16362.415715625</v>
      </c>
      <c r="D52" s="16">
        <f>D51*12</f>
        <v>27201.736395</v>
      </c>
      <c r="E52" s="17" t="s">
        <v>292</v>
      </c>
    </row>
    <row r="54" spans="1:5" ht="18.5" x14ac:dyDescent="0.45">
      <c r="A54" s="21" t="s">
        <v>293</v>
      </c>
      <c r="B54" s="20"/>
      <c r="C54" s="20"/>
      <c r="D54" s="20"/>
      <c r="E54" s="20"/>
    </row>
    <row r="55" spans="1:5" x14ac:dyDescent="0.35">
      <c r="A55" s="2" t="s">
        <v>294</v>
      </c>
      <c r="B55" s="18">
        <f>C51/B30</f>
        <v>0.1239576948153409</v>
      </c>
    </row>
    <row r="56" spans="1:5" x14ac:dyDescent="0.35">
      <c r="A56" s="2" t="s">
        <v>295</v>
      </c>
      <c r="B56" s="3">
        <f>C51/B5</f>
        <v>27.270692859375</v>
      </c>
    </row>
    <row r="57" spans="1:5" x14ac:dyDescent="0.35">
      <c r="A57" s="2" t="s">
        <v>296</v>
      </c>
      <c r="B57" s="18">
        <f>C38/B31</f>
        <v>8.4000000000000005E-2</v>
      </c>
    </row>
    <row r="58" spans="1:5" x14ac:dyDescent="0.35">
      <c r="A58" s="2" t="s">
        <v>297</v>
      </c>
      <c r="B58" s="19">
        <f>C37/B29</f>
        <v>4.4999999999999997E-3</v>
      </c>
    </row>
    <row r="60" spans="1:5" ht="18.5" x14ac:dyDescent="0.45">
      <c r="A60" s="23" t="s">
        <v>298</v>
      </c>
      <c r="B60" s="20"/>
      <c r="C60" s="20"/>
      <c r="D60" s="20"/>
      <c r="E60" s="20"/>
    </row>
    <row r="61" spans="1:5" x14ac:dyDescent="0.35">
      <c r="A61" t="s">
        <v>299</v>
      </c>
      <c r="B61" t="s">
        <v>300</v>
      </c>
      <c r="C61" s="20" t="s">
        <v>301</v>
      </c>
      <c r="D61" s="20"/>
      <c r="E61" s="20"/>
    </row>
    <row r="62" spans="1:5" x14ac:dyDescent="0.35">
      <c r="A62" t="s">
        <v>302</v>
      </c>
      <c r="B62" t="s">
        <v>303</v>
      </c>
      <c r="C62" s="20" t="s">
        <v>304</v>
      </c>
      <c r="D62" s="20"/>
      <c r="E62" s="20"/>
    </row>
    <row r="63" spans="1:5" x14ac:dyDescent="0.35">
      <c r="A63" t="s">
        <v>305</v>
      </c>
      <c r="B63" t="s">
        <v>306</v>
      </c>
      <c r="C63" s="20" t="s">
        <v>307</v>
      </c>
      <c r="D63" s="20"/>
      <c r="E63" s="20"/>
    </row>
    <row r="64" spans="1:5" x14ac:dyDescent="0.35">
      <c r="A64" t="s">
        <v>308</v>
      </c>
      <c r="B64" t="s">
        <v>309</v>
      </c>
      <c r="C64" s="20" t="s">
        <v>310</v>
      </c>
      <c r="D64" s="20"/>
      <c r="E64" s="20"/>
    </row>
    <row r="65" spans="1:5" x14ac:dyDescent="0.35">
      <c r="A65" t="s">
        <v>311</v>
      </c>
      <c r="B65" t="s">
        <v>312</v>
      </c>
      <c r="C65" s="20" t="s">
        <v>313</v>
      </c>
      <c r="D65" s="20"/>
      <c r="E65" s="20"/>
    </row>
  </sheetData>
  <mergeCells count="13">
    <mergeCell ref="A1:E1"/>
    <mergeCell ref="C64:E64"/>
    <mergeCell ref="C62:E62"/>
    <mergeCell ref="C63:E63"/>
    <mergeCell ref="A3:E3"/>
    <mergeCell ref="C65:E65"/>
    <mergeCell ref="A35:E35"/>
    <mergeCell ref="A50:E50"/>
    <mergeCell ref="A16:E16"/>
    <mergeCell ref="A54:E54"/>
    <mergeCell ref="A28:E28"/>
    <mergeCell ref="A60:E60"/>
    <mergeCell ref="C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sqref="A1:G1"/>
    </sheetView>
  </sheetViews>
  <sheetFormatPr defaultRowHeight="14.5" x14ac:dyDescent="0.35"/>
  <cols>
    <col min="1" max="1" width="25" customWidth="1"/>
    <col min="2" max="3" width="15" customWidth="1"/>
    <col min="4" max="5" width="12" customWidth="1"/>
    <col min="6" max="6" width="15" customWidth="1"/>
    <col min="7" max="7" width="50" customWidth="1"/>
  </cols>
  <sheetData>
    <row r="1" spans="1:7" ht="23.5" x14ac:dyDescent="0.55000000000000004">
      <c r="A1" s="22" t="s">
        <v>0</v>
      </c>
      <c r="B1" s="20"/>
      <c r="C1" s="20"/>
      <c r="D1" s="20"/>
      <c r="E1" s="20"/>
      <c r="F1" s="20"/>
      <c r="G1" s="20"/>
    </row>
    <row r="3" spans="1:7" ht="18.5" x14ac:dyDescent="0.45">
      <c r="A3" s="21" t="s">
        <v>1</v>
      </c>
      <c r="B3" s="20"/>
      <c r="C3" s="20"/>
      <c r="D3" s="20"/>
      <c r="E3" s="20"/>
      <c r="F3" s="20"/>
      <c r="G3" s="20"/>
    </row>
    <row r="4" spans="1: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5">
      <c r="A5" s="2" t="s">
        <v>9</v>
      </c>
      <c r="B5" s="3">
        <v>1</v>
      </c>
      <c r="C5" s="3">
        <v>5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x14ac:dyDescent="0.35">
      <c r="A6" s="2" t="s">
        <v>14</v>
      </c>
      <c r="B6" s="3">
        <v>3</v>
      </c>
      <c r="C6" s="3">
        <v>15</v>
      </c>
      <c r="D6" s="2" t="s">
        <v>15</v>
      </c>
      <c r="E6" s="2" t="s">
        <v>16</v>
      </c>
      <c r="F6" s="2" t="s">
        <v>17</v>
      </c>
      <c r="G6" s="2" t="s">
        <v>18</v>
      </c>
    </row>
    <row r="7" spans="1:7" x14ac:dyDescent="0.35">
      <c r="A7" s="2" t="s">
        <v>19</v>
      </c>
      <c r="B7" s="3">
        <v>3.5</v>
      </c>
      <c r="C7" s="3">
        <v>17.5</v>
      </c>
      <c r="D7" s="2" t="s">
        <v>15</v>
      </c>
      <c r="E7" s="2" t="s">
        <v>16</v>
      </c>
      <c r="F7" s="2" t="s">
        <v>20</v>
      </c>
      <c r="G7" s="2" t="s">
        <v>21</v>
      </c>
    </row>
    <row r="8" spans="1:7" x14ac:dyDescent="0.35">
      <c r="A8" s="2" t="s">
        <v>22</v>
      </c>
      <c r="B8" s="3">
        <v>15</v>
      </c>
      <c r="C8" s="3">
        <v>75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 x14ac:dyDescent="0.35">
      <c r="A9" s="2" t="s">
        <v>27</v>
      </c>
      <c r="B9" s="3">
        <v>20</v>
      </c>
      <c r="C9" s="3">
        <v>100</v>
      </c>
      <c r="D9" s="2" t="s">
        <v>23</v>
      </c>
      <c r="E9" s="2" t="s">
        <v>24</v>
      </c>
      <c r="F9" s="2" t="s">
        <v>28</v>
      </c>
      <c r="G9" s="2" t="s">
        <v>29</v>
      </c>
    </row>
    <row r="10" spans="1:7" x14ac:dyDescent="0.35">
      <c r="A10" s="2" t="s">
        <v>30</v>
      </c>
      <c r="B10" s="3">
        <v>1.35</v>
      </c>
      <c r="C10" s="3">
        <v>1.35</v>
      </c>
      <c r="D10" s="2" t="s">
        <v>15</v>
      </c>
      <c r="E10" s="2" t="s">
        <v>31</v>
      </c>
      <c r="F10" s="2" t="s">
        <v>32</v>
      </c>
      <c r="G10" s="2" t="s">
        <v>33</v>
      </c>
    </row>
    <row r="11" spans="1:7" x14ac:dyDescent="0.35">
      <c r="A11" s="2" t="s">
        <v>34</v>
      </c>
      <c r="B11" s="3">
        <v>0.8</v>
      </c>
      <c r="C11" s="3">
        <v>3.2</v>
      </c>
      <c r="D11" s="2" t="s">
        <v>10</v>
      </c>
      <c r="E11" s="2" t="s">
        <v>31</v>
      </c>
      <c r="F11" s="2" t="s">
        <v>35</v>
      </c>
      <c r="G11" s="2" t="s">
        <v>36</v>
      </c>
    </row>
    <row r="12" spans="1:7" x14ac:dyDescent="0.35">
      <c r="A12" s="2" t="s">
        <v>37</v>
      </c>
      <c r="B12" s="3">
        <v>4</v>
      </c>
      <c r="C12" s="3">
        <v>12</v>
      </c>
      <c r="D12" s="2" t="s">
        <v>15</v>
      </c>
      <c r="E12" s="2" t="s">
        <v>11</v>
      </c>
      <c r="F12" s="2" t="s">
        <v>38</v>
      </c>
      <c r="G12" s="2" t="s">
        <v>39</v>
      </c>
    </row>
    <row r="15" spans="1:7" ht="18.5" x14ac:dyDescent="0.45">
      <c r="A15" s="21" t="s">
        <v>40</v>
      </c>
      <c r="B15" s="20"/>
      <c r="C15" s="20"/>
      <c r="D15" s="20"/>
      <c r="E15" s="20"/>
      <c r="F15" s="20"/>
      <c r="G15" s="20"/>
    </row>
    <row r="16" spans="1:7" x14ac:dyDescent="0.35">
      <c r="A16" s="4" t="s">
        <v>41</v>
      </c>
      <c r="B16" s="20" t="s">
        <v>42</v>
      </c>
      <c r="C16" s="20"/>
      <c r="D16" s="20"/>
      <c r="E16" s="20"/>
      <c r="F16" s="20"/>
      <c r="G16" s="20"/>
    </row>
    <row r="17" spans="1:7" x14ac:dyDescent="0.35">
      <c r="A17" s="5"/>
      <c r="B17" s="20" t="s">
        <v>43</v>
      </c>
      <c r="C17" s="20"/>
      <c r="D17" s="20"/>
      <c r="E17" s="20"/>
      <c r="F17" s="20"/>
      <c r="G17" s="20"/>
    </row>
    <row r="18" spans="1:7" x14ac:dyDescent="0.35">
      <c r="A18" s="5"/>
      <c r="B18" s="20" t="s">
        <v>44</v>
      </c>
      <c r="C18" s="20"/>
      <c r="D18" s="20"/>
      <c r="E18" s="20"/>
      <c r="F18" s="20"/>
      <c r="G18" s="20"/>
    </row>
    <row r="19" spans="1:7" x14ac:dyDescent="0.35">
      <c r="A19" s="5"/>
      <c r="B19" s="20" t="s">
        <v>45</v>
      </c>
      <c r="C19" s="20"/>
      <c r="D19" s="20"/>
      <c r="E19" s="20"/>
      <c r="F19" s="20"/>
      <c r="G19" s="20"/>
    </row>
    <row r="20" spans="1:7" x14ac:dyDescent="0.35">
      <c r="A20" s="5"/>
      <c r="B20" s="20" t="s">
        <v>46</v>
      </c>
      <c r="C20" s="20"/>
      <c r="D20" s="20"/>
      <c r="E20" s="20"/>
      <c r="F20" s="20"/>
      <c r="G20" s="20"/>
    </row>
    <row r="21" spans="1:7" x14ac:dyDescent="0.35">
      <c r="A21" s="5"/>
      <c r="B21" s="20"/>
      <c r="C21" s="20"/>
      <c r="D21" s="20"/>
      <c r="E21" s="20"/>
      <c r="F21" s="20"/>
      <c r="G21" s="20"/>
    </row>
    <row r="22" spans="1:7" x14ac:dyDescent="0.35">
      <c r="A22" s="4" t="s">
        <v>47</v>
      </c>
      <c r="B22" s="20" t="s">
        <v>48</v>
      </c>
      <c r="C22" s="20"/>
      <c r="D22" s="20"/>
      <c r="E22" s="20"/>
      <c r="F22" s="20"/>
      <c r="G22" s="20"/>
    </row>
    <row r="23" spans="1:7" x14ac:dyDescent="0.35">
      <c r="A23" s="5"/>
      <c r="B23" s="20" t="s">
        <v>49</v>
      </c>
      <c r="C23" s="20"/>
      <c r="D23" s="20"/>
      <c r="E23" s="20"/>
      <c r="F23" s="20"/>
      <c r="G23" s="20"/>
    </row>
    <row r="24" spans="1:7" x14ac:dyDescent="0.35">
      <c r="A24" s="5"/>
      <c r="B24" s="20" t="s">
        <v>50</v>
      </c>
      <c r="C24" s="20"/>
      <c r="D24" s="20"/>
      <c r="E24" s="20"/>
      <c r="F24" s="20"/>
      <c r="G24" s="20"/>
    </row>
    <row r="25" spans="1:7" x14ac:dyDescent="0.35">
      <c r="A25" s="5"/>
      <c r="B25" s="20" t="s">
        <v>51</v>
      </c>
      <c r="C25" s="20"/>
      <c r="D25" s="20"/>
      <c r="E25" s="20"/>
      <c r="F25" s="20"/>
      <c r="G25" s="20"/>
    </row>
    <row r="26" spans="1:7" x14ac:dyDescent="0.35">
      <c r="A26" s="5"/>
      <c r="B26" s="20"/>
      <c r="C26" s="20"/>
      <c r="D26" s="20"/>
      <c r="E26" s="20"/>
      <c r="F26" s="20"/>
      <c r="G26" s="20"/>
    </row>
    <row r="27" spans="1:7" x14ac:dyDescent="0.35">
      <c r="A27" s="4" t="s">
        <v>52</v>
      </c>
      <c r="B27" s="20" t="s">
        <v>53</v>
      </c>
      <c r="C27" s="20"/>
      <c r="D27" s="20"/>
      <c r="E27" s="20"/>
      <c r="F27" s="20"/>
      <c r="G27" s="20"/>
    </row>
    <row r="28" spans="1:7" x14ac:dyDescent="0.35">
      <c r="A28" s="5"/>
      <c r="B28" s="20" t="s">
        <v>54</v>
      </c>
      <c r="C28" s="20"/>
      <c r="D28" s="20"/>
      <c r="E28" s="20"/>
      <c r="F28" s="20"/>
      <c r="G28" s="20"/>
    </row>
    <row r="29" spans="1:7" x14ac:dyDescent="0.35">
      <c r="A29" s="5"/>
      <c r="B29" s="20" t="s">
        <v>55</v>
      </c>
      <c r="C29" s="20"/>
      <c r="D29" s="20"/>
      <c r="E29" s="20"/>
      <c r="F29" s="20"/>
      <c r="G29" s="20"/>
    </row>
    <row r="30" spans="1:7" x14ac:dyDescent="0.35">
      <c r="A30" s="5"/>
      <c r="B30" s="20" t="s">
        <v>56</v>
      </c>
      <c r="C30" s="20"/>
      <c r="D30" s="20"/>
      <c r="E30" s="20"/>
      <c r="F30" s="20"/>
      <c r="G30" s="20"/>
    </row>
    <row r="31" spans="1:7" x14ac:dyDescent="0.35">
      <c r="A31" s="5"/>
      <c r="B31" s="20"/>
      <c r="C31" s="20"/>
      <c r="D31" s="20"/>
      <c r="E31" s="20"/>
      <c r="F31" s="20"/>
      <c r="G31" s="20"/>
    </row>
    <row r="32" spans="1:7" x14ac:dyDescent="0.35">
      <c r="A32" s="4" t="s">
        <v>57</v>
      </c>
      <c r="B32" s="20" t="s">
        <v>58</v>
      </c>
      <c r="C32" s="20"/>
      <c r="D32" s="20"/>
      <c r="E32" s="20"/>
      <c r="F32" s="20"/>
      <c r="G32" s="20"/>
    </row>
    <row r="33" spans="1:7" x14ac:dyDescent="0.35">
      <c r="A33" s="5"/>
      <c r="B33" s="20" t="s">
        <v>59</v>
      </c>
      <c r="C33" s="20"/>
      <c r="D33" s="20"/>
      <c r="E33" s="20"/>
      <c r="F33" s="20"/>
      <c r="G33" s="20"/>
    </row>
    <row r="34" spans="1:7" x14ac:dyDescent="0.35">
      <c r="A34" s="5"/>
      <c r="B34" s="20" t="s">
        <v>60</v>
      </c>
      <c r="C34" s="20"/>
      <c r="D34" s="20"/>
      <c r="E34" s="20"/>
      <c r="F34" s="20"/>
      <c r="G34" s="20"/>
    </row>
    <row r="35" spans="1:7" x14ac:dyDescent="0.35">
      <c r="A35" s="5"/>
      <c r="B35" s="20" t="s">
        <v>61</v>
      </c>
      <c r="C35" s="20"/>
      <c r="D35" s="20"/>
      <c r="E35" s="20"/>
      <c r="F35" s="20"/>
      <c r="G35" s="20"/>
    </row>
    <row r="38" spans="1:7" ht="18.5" x14ac:dyDescent="0.45">
      <c r="A38" s="21" t="s">
        <v>62</v>
      </c>
      <c r="B38" s="20"/>
      <c r="C38" s="20"/>
      <c r="D38" s="20"/>
      <c r="E38" s="20"/>
      <c r="F38" s="20"/>
      <c r="G38" s="20"/>
    </row>
    <row r="39" spans="1:7" x14ac:dyDescent="0.35">
      <c r="A39" s="1" t="s">
        <v>2</v>
      </c>
      <c r="B39" s="1" t="s">
        <v>63</v>
      </c>
      <c r="C39" s="1" t="s">
        <v>64</v>
      </c>
      <c r="D39" s="1" t="s">
        <v>65</v>
      </c>
      <c r="E39" s="1" t="s">
        <v>66</v>
      </c>
      <c r="F39" s="1" t="s">
        <v>67</v>
      </c>
      <c r="G39" s="1" t="s">
        <v>68</v>
      </c>
    </row>
    <row r="40" spans="1:7" x14ac:dyDescent="0.35">
      <c r="A40" s="2" t="s">
        <v>9</v>
      </c>
      <c r="B40" s="3">
        <v>198</v>
      </c>
      <c r="C40" s="3">
        <v>231</v>
      </c>
      <c r="D40" s="3">
        <v>116</v>
      </c>
      <c r="E40" s="3">
        <v>545</v>
      </c>
      <c r="F40" s="2" t="s">
        <v>69</v>
      </c>
      <c r="G40" s="2" t="s">
        <v>70</v>
      </c>
    </row>
    <row r="41" spans="1:7" x14ac:dyDescent="0.35">
      <c r="A41" s="2" t="s">
        <v>14</v>
      </c>
      <c r="B41" s="3">
        <v>593</v>
      </c>
      <c r="C41" s="3">
        <v>693</v>
      </c>
      <c r="D41" s="3">
        <v>347</v>
      </c>
      <c r="E41" s="3">
        <v>1633</v>
      </c>
      <c r="F41" s="2" t="s">
        <v>71</v>
      </c>
      <c r="G41" s="2" t="s">
        <v>72</v>
      </c>
    </row>
    <row r="42" spans="1:7" x14ac:dyDescent="0.35">
      <c r="A42" s="2" t="s">
        <v>19</v>
      </c>
      <c r="B42" s="3">
        <v>692</v>
      </c>
      <c r="C42" s="3">
        <v>808</v>
      </c>
      <c r="D42" s="3">
        <v>404</v>
      </c>
      <c r="E42" s="3">
        <v>1904</v>
      </c>
      <c r="F42" s="2" t="s">
        <v>73</v>
      </c>
      <c r="G42" s="2" t="s">
        <v>74</v>
      </c>
    </row>
    <row r="43" spans="1:7" x14ac:dyDescent="0.35">
      <c r="A43" s="2" t="s">
        <v>22</v>
      </c>
      <c r="B43" s="3">
        <v>2966</v>
      </c>
      <c r="C43" s="3">
        <v>3467</v>
      </c>
      <c r="D43" s="3">
        <v>1733</v>
      </c>
      <c r="E43" s="3">
        <v>8166</v>
      </c>
      <c r="F43" s="2" t="s">
        <v>75</v>
      </c>
      <c r="G43" s="2" t="s">
        <v>76</v>
      </c>
    </row>
    <row r="44" spans="1:7" x14ac:dyDescent="0.35">
      <c r="A44" s="2" t="s">
        <v>27</v>
      </c>
      <c r="B44" s="3">
        <v>3955</v>
      </c>
      <c r="C44" s="3">
        <v>4622</v>
      </c>
      <c r="D44" s="3">
        <v>2311</v>
      </c>
      <c r="E44" s="3">
        <v>10888</v>
      </c>
      <c r="F44" s="2" t="s">
        <v>77</v>
      </c>
      <c r="G44" s="2" t="s">
        <v>78</v>
      </c>
    </row>
    <row r="45" spans="1:7" x14ac:dyDescent="0.35">
      <c r="A45" s="2" t="s">
        <v>34</v>
      </c>
      <c r="B45" s="3">
        <v>158</v>
      </c>
      <c r="C45" s="3">
        <v>185</v>
      </c>
      <c r="D45" s="3">
        <v>93</v>
      </c>
      <c r="E45" s="3">
        <v>436</v>
      </c>
      <c r="F45" s="2" t="s">
        <v>79</v>
      </c>
      <c r="G45" s="2" t="s">
        <v>80</v>
      </c>
    </row>
    <row r="46" spans="1:7" x14ac:dyDescent="0.35">
      <c r="A46" s="2" t="s">
        <v>30</v>
      </c>
      <c r="B46" s="3">
        <v>238</v>
      </c>
      <c r="C46" s="3">
        <v>278</v>
      </c>
      <c r="D46" s="3">
        <v>139</v>
      </c>
      <c r="E46" s="3">
        <v>655</v>
      </c>
      <c r="F46" s="2" t="s">
        <v>81</v>
      </c>
      <c r="G46" s="2" t="s">
        <v>82</v>
      </c>
    </row>
  </sheetData>
  <mergeCells count="24">
    <mergeCell ref="A1:G1"/>
    <mergeCell ref="B32:G32"/>
    <mergeCell ref="B35:G35"/>
    <mergeCell ref="B26:G26"/>
    <mergeCell ref="B25:G25"/>
    <mergeCell ref="B16:G16"/>
    <mergeCell ref="B22:G22"/>
    <mergeCell ref="A3:G3"/>
    <mergeCell ref="B31:G31"/>
    <mergeCell ref="B27:G27"/>
    <mergeCell ref="B18:G18"/>
    <mergeCell ref="B21:G21"/>
    <mergeCell ref="A15:G15"/>
    <mergeCell ref="B30:G30"/>
    <mergeCell ref="B33:G33"/>
    <mergeCell ref="B24:G24"/>
    <mergeCell ref="B20:G20"/>
    <mergeCell ref="B17:G17"/>
    <mergeCell ref="B23:G23"/>
    <mergeCell ref="A38:G38"/>
    <mergeCell ref="B29:G29"/>
    <mergeCell ref="B19:G19"/>
    <mergeCell ref="B34:G34"/>
    <mergeCell ref="B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opLeftCell="A3" workbookViewId="0">
      <selection sqref="A1:E1"/>
    </sheetView>
  </sheetViews>
  <sheetFormatPr defaultRowHeight="14.5" x14ac:dyDescent="0.35"/>
  <cols>
    <col min="1" max="1" width="30" customWidth="1"/>
    <col min="2" max="2" width="20" customWidth="1"/>
    <col min="3" max="4" width="15" customWidth="1"/>
    <col min="5" max="5" width="45" customWidth="1"/>
  </cols>
  <sheetData>
    <row r="1" spans="1:5" ht="23.5" x14ac:dyDescent="0.55000000000000004">
      <c r="A1" s="22" t="s">
        <v>83</v>
      </c>
      <c r="B1" s="20"/>
      <c r="C1" s="20"/>
      <c r="D1" s="20"/>
      <c r="E1" s="20"/>
    </row>
    <row r="3" spans="1:5" ht="18.5" x14ac:dyDescent="0.45">
      <c r="A3" s="21" t="s">
        <v>84</v>
      </c>
      <c r="B3" s="20"/>
      <c r="C3" s="20"/>
      <c r="D3" s="20"/>
      <c r="E3" s="20"/>
    </row>
    <row r="4" spans="1:5" x14ac:dyDescent="0.35">
      <c r="A4" s="6" t="s">
        <v>85</v>
      </c>
      <c r="B4" s="6" t="s">
        <v>86</v>
      </c>
      <c r="C4" s="6" t="s">
        <v>87</v>
      </c>
      <c r="D4" s="6" t="s">
        <v>88</v>
      </c>
      <c r="E4" s="6" t="s">
        <v>89</v>
      </c>
    </row>
    <row r="5" spans="1:5" x14ac:dyDescent="0.35">
      <c r="A5" s="7" t="s">
        <v>90</v>
      </c>
      <c r="B5" s="7" t="s">
        <v>91</v>
      </c>
      <c r="C5" s="7" t="s">
        <v>92</v>
      </c>
      <c r="D5" s="7" t="s">
        <v>93</v>
      </c>
      <c r="E5" s="7" t="s">
        <v>94</v>
      </c>
    </row>
    <row r="6" spans="1:5" x14ac:dyDescent="0.35">
      <c r="A6" s="2" t="s">
        <v>95</v>
      </c>
      <c r="B6" s="2" t="s">
        <v>96</v>
      </c>
      <c r="C6" s="2" t="s">
        <v>97</v>
      </c>
      <c r="D6" s="2" t="s">
        <v>98</v>
      </c>
      <c r="E6" s="2" t="s">
        <v>99</v>
      </c>
    </row>
    <row r="7" spans="1:5" x14ac:dyDescent="0.35">
      <c r="A7" s="2" t="s">
        <v>100</v>
      </c>
      <c r="B7" s="2" t="s">
        <v>101</v>
      </c>
      <c r="C7" s="2" t="s">
        <v>102</v>
      </c>
      <c r="D7" s="2" t="s">
        <v>103</v>
      </c>
      <c r="E7" s="2" t="s">
        <v>104</v>
      </c>
    </row>
    <row r="8" spans="1:5" x14ac:dyDescent="0.35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</row>
    <row r="9" spans="1:5" x14ac:dyDescent="0.3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</row>
    <row r="11" spans="1:5" ht="18.5" x14ac:dyDescent="0.45">
      <c r="A11" s="21" t="s">
        <v>115</v>
      </c>
      <c r="B11" s="20"/>
      <c r="C11" s="20"/>
      <c r="D11" s="20"/>
      <c r="E11" s="20"/>
    </row>
    <row r="12" spans="1:5" x14ac:dyDescent="0.35">
      <c r="A12" s="6" t="s">
        <v>85</v>
      </c>
      <c r="B12" s="6" t="s">
        <v>116</v>
      </c>
      <c r="C12" s="6" t="s">
        <v>87</v>
      </c>
      <c r="D12" s="6" t="s">
        <v>88</v>
      </c>
      <c r="E12" s="6" t="s">
        <v>89</v>
      </c>
    </row>
    <row r="13" spans="1:5" x14ac:dyDescent="0.35">
      <c r="A13" s="7" t="s">
        <v>117</v>
      </c>
      <c r="B13" s="7" t="s">
        <v>118</v>
      </c>
      <c r="C13" s="7" t="s">
        <v>119</v>
      </c>
      <c r="D13" s="7" t="s">
        <v>120</v>
      </c>
      <c r="E13" s="7" t="s">
        <v>121</v>
      </c>
    </row>
    <row r="14" spans="1:5" x14ac:dyDescent="0.35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</row>
    <row r="15" spans="1:5" x14ac:dyDescent="0.35">
      <c r="A15" s="2" t="s">
        <v>127</v>
      </c>
      <c r="B15" s="2" t="s">
        <v>128</v>
      </c>
      <c r="C15" s="2" t="s">
        <v>129</v>
      </c>
      <c r="D15" s="2" t="s">
        <v>130</v>
      </c>
      <c r="E15" s="2" t="s">
        <v>131</v>
      </c>
    </row>
    <row r="16" spans="1:5" x14ac:dyDescent="0.35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</row>
    <row r="17" spans="1:5" x14ac:dyDescent="0.35">
      <c r="A17" s="2" t="s">
        <v>137</v>
      </c>
      <c r="B17" s="2" t="s">
        <v>138</v>
      </c>
      <c r="C17" s="2" t="s">
        <v>139</v>
      </c>
      <c r="D17" s="2" t="s">
        <v>140</v>
      </c>
      <c r="E17" s="2" t="s">
        <v>141</v>
      </c>
    </row>
    <row r="19" spans="1:5" ht="18.5" x14ac:dyDescent="0.45">
      <c r="A19" s="21" t="s">
        <v>142</v>
      </c>
      <c r="B19" s="20"/>
      <c r="C19" s="20"/>
      <c r="D19" s="20"/>
      <c r="E19" s="20"/>
    </row>
    <row r="20" spans="1:5" x14ac:dyDescent="0.35">
      <c r="A20" s="6" t="s">
        <v>85</v>
      </c>
      <c r="B20" s="6" t="s">
        <v>116</v>
      </c>
      <c r="C20" s="6" t="s">
        <v>87</v>
      </c>
      <c r="D20" s="6" t="s">
        <v>88</v>
      </c>
      <c r="E20" s="6" t="s">
        <v>89</v>
      </c>
    </row>
    <row r="21" spans="1:5" x14ac:dyDescent="0.35">
      <c r="A21" s="7" t="s">
        <v>143</v>
      </c>
      <c r="B21" s="7" t="s">
        <v>144</v>
      </c>
      <c r="C21" s="7" t="s">
        <v>145</v>
      </c>
      <c r="D21" s="7" t="s">
        <v>146</v>
      </c>
      <c r="E21" s="7" t="s">
        <v>70</v>
      </c>
    </row>
    <row r="22" spans="1:5" x14ac:dyDescent="0.35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</row>
    <row r="23" spans="1:5" x14ac:dyDescent="0.3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131</v>
      </c>
    </row>
    <row r="24" spans="1:5" x14ac:dyDescent="0.35">
      <c r="A24" s="2" t="s">
        <v>156</v>
      </c>
      <c r="B24" s="2" t="s">
        <v>157</v>
      </c>
      <c r="C24" s="2" t="s">
        <v>158</v>
      </c>
      <c r="D24" s="2" t="s">
        <v>159</v>
      </c>
      <c r="E24" s="2" t="s">
        <v>160</v>
      </c>
    </row>
    <row r="25" spans="1:5" x14ac:dyDescent="0.35">
      <c r="A25" s="2" t="s">
        <v>161</v>
      </c>
      <c r="B25" s="2" t="s">
        <v>162</v>
      </c>
      <c r="C25" s="2" t="s">
        <v>163</v>
      </c>
      <c r="D25" s="2" t="s">
        <v>164</v>
      </c>
      <c r="E25" s="2" t="s">
        <v>165</v>
      </c>
    </row>
    <row r="27" spans="1:5" ht="18.5" x14ac:dyDescent="0.45">
      <c r="A27" s="21" t="s">
        <v>166</v>
      </c>
      <c r="B27" s="20"/>
      <c r="C27" s="20"/>
      <c r="D27" s="20"/>
      <c r="E27" s="20"/>
    </row>
    <row r="28" spans="1:5" x14ac:dyDescent="0.35">
      <c r="A28" s="6" t="s">
        <v>85</v>
      </c>
      <c r="B28" s="6" t="s">
        <v>167</v>
      </c>
      <c r="C28" s="6" t="s">
        <v>87</v>
      </c>
      <c r="D28" s="6" t="s">
        <v>88</v>
      </c>
      <c r="E28" s="6" t="s">
        <v>89</v>
      </c>
    </row>
    <row r="29" spans="1:5" x14ac:dyDescent="0.35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</row>
    <row r="30" spans="1:5" x14ac:dyDescent="0.35">
      <c r="A30" s="7" t="s">
        <v>173</v>
      </c>
      <c r="B30" s="7" t="s">
        <v>174</v>
      </c>
      <c r="C30" s="7" t="s">
        <v>175</v>
      </c>
      <c r="D30" s="7" t="s">
        <v>176</v>
      </c>
      <c r="E30" s="7" t="s">
        <v>177</v>
      </c>
    </row>
    <row r="31" spans="1:5" x14ac:dyDescent="0.35">
      <c r="A31" s="2" t="s">
        <v>178</v>
      </c>
      <c r="B31" s="2" t="s">
        <v>179</v>
      </c>
      <c r="C31" s="2" t="s">
        <v>180</v>
      </c>
      <c r="D31" s="2" t="s">
        <v>181</v>
      </c>
      <c r="E31" s="2" t="s">
        <v>182</v>
      </c>
    </row>
    <row r="32" spans="1:5" x14ac:dyDescent="0.35">
      <c r="A32" s="2" t="s">
        <v>183</v>
      </c>
      <c r="B32" s="2" t="s">
        <v>184</v>
      </c>
      <c r="C32" s="2" t="s">
        <v>185</v>
      </c>
      <c r="D32" s="2" t="s">
        <v>186</v>
      </c>
      <c r="E32" s="2" t="s">
        <v>187</v>
      </c>
    </row>
    <row r="33" spans="1:5" x14ac:dyDescent="0.35">
      <c r="A33" s="2" t="s">
        <v>188</v>
      </c>
      <c r="B33" s="2" t="s">
        <v>189</v>
      </c>
      <c r="C33" s="2" t="s">
        <v>190</v>
      </c>
      <c r="D33" s="2" t="s">
        <v>191</v>
      </c>
      <c r="E33" s="2" t="s">
        <v>192</v>
      </c>
    </row>
  </sheetData>
  <mergeCells count="5"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Calculator</vt:lpstr>
      <vt:lpstr>Model Comparison</vt:lpstr>
      <vt:lpstr>Service Alternatives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Arsolon, Michael Angelo</cp:lastModifiedBy>
  <dcterms:created xsi:type="dcterms:W3CDTF">2026-06-12T06:50:09Z</dcterms:created>
  <dcterms:modified xsi:type="dcterms:W3CDTF">2026-06-12T07:13:19Z</dcterms:modified>
</cp:coreProperties>
</file>